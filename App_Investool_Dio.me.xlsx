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.mendonca\Downloads\"/>
    </mc:Choice>
  </mc:AlternateContent>
  <xr:revisionPtr revIDLastSave="0" documentId="8_{1A0C9957-BBE8-4E23-8565-247B1810F558}" xr6:coauthVersionLast="47" xr6:coauthVersionMax="47" xr10:uidLastSave="{00000000-0000-0000-0000-000000000000}"/>
  <bookViews>
    <workbookView xWindow="-108" yWindow="-108" windowWidth="23256" windowHeight="12456" tabRatio="307" xr2:uid="{37075624-E893-491E-97EC-0480FD3DFD88}"/>
  </bookViews>
  <sheets>
    <sheet name="APP_Investool" sheetId="1" r:id="rId1"/>
    <sheet name="Tbd_apoio" sheetId="2" r:id="rId2"/>
  </sheets>
  <definedNames>
    <definedName name="aporte">APP_Investool!$D$16</definedName>
    <definedName name="dividendos_mensal">APP_Investool!$D$20</definedName>
    <definedName name="patrimonio">APP_Investool!$D$19</definedName>
    <definedName name="qtd_anos">APP_Investool!$D$17</definedName>
    <definedName name="rendimento_carteira">APP_Investool!$D$12</definedName>
    <definedName name="salario">APP_Investool!$D$11</definedName>
    <definedName name="sugestao_invest">APP_Investool!$D$13</definedName>
    <definedName name="sugestao_invet">APP_Investool!$D$13</definedName>
    <definedName name="taxa_mensal">APP_Investool!$D$18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1" i="1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35" i="1" l="1"/>
  <c r="D39" i="1"/>
  <c r="D38" i="1"/>
  <c r="D34" i="1"/>
  <c r="D37" i="1"/>
  <c r="D36" i="1"/>
  <c r="D40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<sst xmlns="http://schemas.openxmlformats.org/spreadsheetml/2006/main" count="69" uniqueCount="33">
  <si>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</si>
  <si>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</si>
  <si>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</si>
  <si>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Dividendos mensais?</t>
  </si>
  <si>
    <t>INVESTIMENTO MENSAL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</si>
  <si>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</si>
  <si>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</si>
  <si>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</si>
  <si>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</si>
  <si>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</si>
  <si>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</si>
  <si>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</si>
  <si>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</si>
  <si>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Salário</t>
  </si>
  <si>
    <t>Rendimento Carteira</t>
  </si>
  <si>
    <t>CONFIGURAÇÕES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</si>
  <si>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</si>
  <si>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</si>
  <si>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</si>
  <si>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</si>
  <si>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</si>
  <si>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</si>
  <si>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</si>
  <si>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</si>
  <si>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</si>
  <si>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</si>
  <si>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</si>
  <si>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</si>
  <si>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HOTELÁRIAS</t>
  </si>
  <si>
    <t>PERFIL</t>
  </si>
  <si>
    <t>%</t>
  </si>
  <si>
    <t xml:space="preserve">CHAVE 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</si>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</sst>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1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22346"/>
        <bgColor indexed="64"/>
      </patternFill>
    </fill>
    <fill>
      <patternFill patternType="solid">
        <fgColor rgb="FFFFDE5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1">
    <xf numFmtId="0" fontId="0" fillId="0" borderId="0" xfId="0"/>
    <xf numFmtId="0" fontId="3" fillId="0" borderId="4" xfId="0" applyFont="1" applyBorder="1" applyAlignment="1">
      <alignment horizontal="center" vertical="center"/>
    </xf>
    <xf numFmtId="10" fontId="3" fillId="0" borderId="4" xfId="2" applyNumberFormat="1" applyFont="1" applyBorder="1" applyAlignment="1">
      <alignment horizontal="center" vertical="center"/>
    </xf>
    <xf numFmtId="171" fontId="3" fillId="0" borderId="4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8" fontId="3" fillId="5" borderId="4" xfId="0" applyNumberFormat="1" applyFont="1" applyFill="1" applyBorder="1" applyAlignment="1">
      <alignment horizontal="center" vertical="center"/>
    </xf>
    <xf numFmtId="8" fontId="3" fillId="5" borderId="6" xfId="0" applyNumberFormat="1" applyFont="1" applyFill="1" applyBorder="1" applyAlignment="1">
      <alignment horizontal="center" vertical="center"/>
    </xf>
    <xf numFmtId="0" fontId="0" fillId="0" borderId="0" xfId="0" applyFont="1"/>
    <xf numFmtId="171" fontId="0" fillId="5" borderId="7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71" fontId="0" fillId="0" borderId="4" xfId="0" applyNumberFormat="1" applyFont="1" applyBorder="1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71" fontId="0" fillId="0" borderId="6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1" fontId="0" fillId="5" borderId="4" xfId="0" applyNumberFormat="1" applyFont="1" applyFill="1" applyBorder="1" applyAlignment="1">
      <alignment horizontal="center"/>
    </xf>
    <xf numFmtId="171" fontId="0" fillId="5" borderId="9" xfId="1" applyNumberFormat="1" applyFont="1" applyFill="1" applyBorder="1" applyAlignment="1">
      <alignment horizontal="center" vertical="center"/>
    </xf>
    <xf numFmtId="171" fontId="0" fillId="5" borderId="6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left" indent="3"/>
    </xf>
    <xf numFmtId="0" fontId="8" fillId="5" borderId="7" xfId="0" applyFont="1" applyFill="1" applyBorder="1" applyAlignment="1">
      <alignment horizontal="left" indent="3"/>
    </xf>
    <xf numFmtId="0" fontId="8" fillId="5" borderId="5" xfId="0" applyFont="1" applyFill="1" applyBorder="1" applyAlignment="1">
      <alignment horizontal="left" indent="3"/>
    </xf>
    <xf numFmtId="0" fontId="8" fillId="5" borderId="9" xfId="0" applyFont="1" applyFill="1" applyBorder="1" applyAlignment="1">
      <alignment horizontal="left" indent="3"/>
    </xf>
    <xf numFmtId="0" fontId="8" fillId="0" borderId="3" xfId="0" applyFont="1" applyBorder="1" applyAlignment="1">
      <alignment horizontal="left" vertical="center" indent="3"/>
    </xf>
    <xf numFmtId="0" fontId="8" fillId="0" borderId="7" xfId="0" applyFont="1" applyBorder="1" applyAlignment="1">
      <alignment horizontal="left" vertical="center" indent="3"/>
    </xf>
    <xf numFmtId="0" fontId="9" fillId="5" borderId="3" xfId="0" applyFont="1" applyFill="1" applyBorder="1" applyAlignment="1">
      <alignment horizontal="left" vertical="center" indent="3"/>
    </xf>
    <xf numFmtId="0" fontId="9" fillId="5" borderId="7" xfId="0" applyFont="1" applyFill="1" applyBorder="1" applyAlignment="1">
      <alignment horizontal="left" vertical="center" indent="3"/>
    </xf>
    <xf numFmtId="0" fontId="9" fillId="5" borderId="5" xfId="0" applyFont="1" applyFill="1" applyBorder="1" applyAlignment="1">
      <alignment horizontal="left" vertical="center" indent="3"/>
    </xf>
    <xf numFmtId="0" fontId="9" fillId="5" borderId="9" xfId="0" applyFont="1" applyFill="1" applyBorder="1" applyAlignment="1">
      <alignment horizontal="left" vertical="center" indent="3"/>
    </xf>
    <xf numFmtId="0" fontId="8" fillId="5" borderId="3" xfId="0" applyFont="1" applyFill="1" applyBorder="1" applyAlignment="1">
      <alignment horizontal="left" vertical="center" indent="3"/>
    </xf>
    <xf numFmtId="0" fontId="8" fillId="5" borderId="5" xfId="0" applyFont="1" applyFill="1" applyBorder="1" applyAlignment="1">
      <alignment horizontal="left" vertical="center" indent="3"/>
    </xf>
    <xf numFmtId="0" fontId="2" fillId="2" borderId="0" xfId="3"/>
    <xf numFmtId="0" fontId="0" fillId="5" borderId="0" xfId="0" applyFill="1"/>
    <xf numFmtId="0" fontId="3" fillId="5" borderId="0" xfId="0" applyFont="1" applyFill="1"/>
    <xf numFmtId="171" fontId="3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71" fontId="3" fillId="6" borderId="0" xfId="0" applyNumberFormat="1" applyFont="1" applyFill="1" applyAlignment="1">
      <alignment horizontal="center" vertical="center"/>
    </xf>
    <xf numFmtId="0" fontId="2" fillId="2" borderId="0" xfId="3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DE59"/>
      <color rgb="FF1223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563879</xdr:colOff>
      <xdr:row>0</xdr:row>
      <xdr:rowOff>106680</xdr:rowOff>
    </xdr:from>
    <xdr:to>
      <xdr:col>4</xdr:col>
      <xdr:colOff>21834</xdr:colOff>
      <xdr:row>8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962A2A8-689F-DA50-BD9A-F6AB0A8A3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79" y="106680"/>
          <a:ext cx="5790175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D8DC-14C4-41E0-86E9-F3975AD09820}">
  <dimension ref="A9:H40"/>
  <sheetViews>
    <sheetView showGridLines="0" tabSelected="1" topLeftCell="A4" workbookViewId="0">
      <selection activeCell="C46" sqref="C46"/>
    </sheetView>
  </sheetViews>
  <sheetFormatPr defaultColWidth="0" defaultRowHeight="14.4" x14ac:dyDescent="0.3"/>
  <cols>
    <col min="1" max="1" width="8.88671875" customWidth="1"/>
    <col min="2" max="2" width="49.33203125" customWidth="1"/>
    <col min="3" max="3" width="20.21875" customWidth="1"/>
    <col min="4" max="4" width="13.88671875" customWidth="1"/>
    <col min="5" max="5" width="5.5546875" customWidth="1"/>
    <col min="6" max="6" width="6.21875" hidden="1" customWidth="1"/>
    <col min="7" max="7" width="2.88671875" hidden="1" customWidth="1"/>
    <col min="8" max="8" width="6.21875" hidden="1" customWidth="1"/>
    <col min="9" max="9" width="8.88671875" hidden="1" customWidth="1"/>
    <col min="10" max="16384" width="8.88671875" hidden="1"/>
  </cols>
  <sheetData>
    <row r="9" spans="2:4" ht="15" thickBot="1" x14ac:dyDescent="0.35"/>
    <row r="10" spans="2:4" ht="18" x14ac:dyDescent="0.3">
      <c r="B10" s="11" t="s">
        <v>15</v>
      </c>
      <c r="C10" s="12"/>
      <c r="D10" s="13"/>
    </row>
    <row r="11" spans="2:4" ht="15.6" x14ac:dyDescent="0.3">
      <c r="B11" s="23" t="s">
        <v>13</v>
      </c>
      <c r="C11" s="24"/>
      <c r="D11" s="14">
        <v>4200</v>
      </c>
    </row>
    <row r="12" spans="2:4" ht="15.6" x14ac:dyDescent="0.3">
      <c r="B12" s="23" t="s">
        <v>14</v>
      </c>
      <c r="C12" s="24"/>
      <c r="D12" s="15">
        <v>6.0000000000000001E-3</v>
      </c>
    </row>
    <row r="13" spans="2:4" ht="16.2" thickBot="1" x14ac:dyDescent="0.35">
      <c r="B13" s="25" t="s">
        <v>32</v>
      </c>
      <c r="C13" s="26"/>
      <c r="D13" s="16">
        <f>D11*30%</f>
        <v>1260</v>
      </c>
    </row>
    <row r="14" spans="2:4" ht="15" thickBot="1" x14ac:dyDescent="0.35">
      <c r="B14" s="9"/>
      <c r="C14" s="9"/>
      <c r="D14" s="9"/>
    </row>
    <row r="15" spans="2:4" ht="30.6" customHeight="1" x14ac:dyDescent="0.3">
      <c r="B15" s="6" t="s">
        <v>4</v>
      </c>
      <c r="C15" s="17"/>
      <c r="D15" s="18"/>
    </row>
    <row r="16" spans="2:4" ht="18" customHeight="1" x14ac:dyDescent="0.3">
      <c r="B16" s="27" t="s">
        <v>0</v>
      </c>
      <c r="C16" s="28"/>
      <c r="D16" s="3">
        <v>200</v>
      </c>
    </row>
    <row r="17" spans="1:4" ht="18" customHeight="1" x14ac:dyDescent="0.3">
      <c r="B17" s="27" t="s">
        <v>1</v>
      </c>
      <c r="C17" s="28"/>
      <c r="D17" s="1">
        <v>5</v>
      </c>
    </row>
    <row r="18" spans="1:4" ht="18" customHeight="1" x14ac:dyDescent="0.3">
      <c r="B18" s="27" t="s">
        <v>2</v>
      </c>
      <c r="C18" s="28"/>
      <c r="D18" s="2">
        <v>1.0800000000000001E-2</v>
      </c>
    </row>
    <row r="19" spans="1:4" ht="18" customHeight="1" x14ac:dyDescent="0.3">
      <c r="B19" s="29" t="s">
        <v>5</v>
      </c>
      <c r="C19" s="30"/>
      <c r="D19" s="7">
        <f>FV(taxa_mensal,qtd_anos*12,aporte*-1)</f>
        <v>16760.803871851687</v>
      </c>
    </row>
    <row r="20" spans="1:4" ht="18" customHeight="1" thickBot="1" x14ac:dyDescent="0.35">
      <c r="B20" s="31" t="s">
        <v>3</v>
      </c>
      <c r="C20" s="32"/>
      <c r="D20" s="8">
        <f>patrimonio*rendimento_carteira</f>
        <v>100.56482323111013</v>
      </c>
    </row>
    <row r="21" spans="1:4" ht="15" thickBot="1" x14ac:dyDescent="0.35">
      <c r="B21" s="9"/>
      <c r="C21" s="9"/>
      <c r="D21" s="9"/>
    </row>
    <row r="22" spans="1:4" ht="21" x14ac:dyDescent="0.3">
      <c r="B22" s="6" t="s">
        <v>11</v>
      </c>
      <c r="C22" s="17"/>
      <c r="D22" s="19" t="s">
        <v>12</v>
      </c>
    </row>
    <row r="23" spans="1:4" ht="15.6" x14ac:dyDescent="0.3">
      <c r="A23" s="4">
        <v>2</v>
      </c>
      <c r="B23" s="33" t="s">
        <v>6</v>
      </c>
      <c r="C23" s="10">
        <f>FV($D$18,$A23*12,$D$16*-1)</f>
        <v>5446.172732116318</v>
      </c>
      <c r="D23" s="20">
        <f>C23*rendimento_carteira</f>
        <v>32.677036392697907</v>
      </c>
    </row>
    <row r="24" spans="1:4" ht="15.6" x14ac:dyDescent="0.3">
      <c r="A24" s="4">
        <v>5</v>
      </c>
      <c r="B24" s="33" t="s">
        <v>7</v>
      </c>
      <c r="C24" s="10">
        <f>FV($D$18,$A24*12,$D$16*-1)</f>
        <v>16760.803871851687</v>
      </c>
      <c r="D24" s="20">
        <f>C24*rendimento_carteira</f>
        <v>100.56482323111013</v>
      </c>
    </row>
    <row r="25" spans="1:4" ht="15.6" x14ac:dyDescent="0.3">
      <c r="A25" s="4">
        <v>10</v>
      </c>
      <c r="B25" s="33" t="s">
        <v>8</v>
      </c>
      <c r="C25" s="10">
        <f>FV($D$18,$A25*12,$D$16*-1)</f>
        <v>48691.533250960019</v>
      </c>
      <c r="D25" s="20">
        <f>C25*rendimento_carteira</f>
        <v>292.14919950576012</v>
      </c>
    </row>
    <row r="26" spans="1:4" ht="15.6" x14ac:dyDescent="0.3">
      <c r="A26" s="4">
        <v>20</v>
      </c>
      <c r="B26" s="33" t="s">
        <v>9</v>
      </c>
      <c r="C26" s="10">
        <f>FV($D$18,$A26*12,$D$16*-1)</f>
        <v>225409.79865970465</v>
      </c>
      <c r="D26" s="20">
        <f>C26*rendimento_carteira</f>
        <v>1352.4587919582279</v>
      </c>
    </row>
    <row r="27" spans="1:4" ht="16.2" thickBot="1" x14ac:dyDescent="0.35">
      <c r="A27" s="4">
        <v>30</v>
      </c>
      <c r="B27" s="34" t="s">
        <v>10</v>
      </c>
      <c r="C27" s="21">
        <f>FV($D$18,$A27*12,$D$16*-1)</f>
        <v>866780.96206335025</v>
      </c>
      <c r="D27" s="22">
        <f>C27*rendimento_carteira</f>
        <v>5200.6857723801013</v>
      </c>
    </row>
    <row r="28" spans="1:4" x14ac:dyDescent="0.3">
      <c r="A28" s="4"/>
    </row>
    <row r="30" spans="1:4" x14ac:dyDescent="0.3">
      <c r="B30" s="35" t="s">
        <v>29</v>
      </c>
      <c r="C30" s="50" t="s">
        <v>16</v>
      </c>
      <c r="D30" s="35"/>
    </row>
    <row r="31" spans="1:4" x14ac:dyDescent="0.3">
      <c r="B31" s="37" t="s">
        <v>19</v>
      </c>
      <c r="C31" s="38">
        <f>aporte</f>
        <v>200</v>
      </c>
      <c r="D31" s="36"/>
    </row>
    <row r="33" spans="2:4" x14ac:dyDescent="0.3">
      <c r="B33" s="42" t="s">
        <v>20</v>
      </c>
      <c r="C33" s="42" t="s">
        <v>21</v>
      </c>
      <c r="D33" s="42" t="s">
        <v>22</v>
      </c>
    </row>
    <row r="34" spans="2:4" x14ac:dyDescent="0.3">
      <c r="B34" s="39" t="s">
        <v>23</v>
      </c>
      <c r="C34" s="40">
        <f>VLOOKUP($C$30&amp;"-"&amp;B34,Tbd_apoio!A:D,4,0)</f>
        <v>0.5</v>
      </c>
      <c r="D34" s="41">
        <f>C34*$C$31</f>
        <v>100</v>
      </c>
    </row>
    <row r="35" spans="2:4" x14ac:dyDescent="0.3">
      <c r="B35" s="39" t="s">
        <v>24</v>
      </c>
      <c r="C35" s="40">
        <f>VLOOKUP($C$30&amp;"-"&amp;B35,Tbd_apoio!A:D,4,0)</f>
        <v>0.1</v>
      </c>
      <c r="D35" s="41">
        <f t="shared" ref="D35:D39" si="0">C35*$C$31</f>
        <v>20</v>
      </c>
    </row>
    <row r="36" spans="2:4" x14ac:dyDescent="0.3">
      <c r="B36" s="39" t="s">
        <v>25</v>
      </c>
      <c r="C36" s="40">
        <f>VLOOKUP($C$30&amp;"-"&amp;B36,Tbd_apoio!A:D,4,0)</f>
        <v>0.05</v>
      </c>
      <c r="D36" s="41">
        <f t="shared" si="0"/>
        <v>10</v>
      </c>
    </row>
    <row r="37" spans="2:4" x14ac:dyDescent="0.3">
      <c r="B37" s="39" t="s">
        <v>26</v>
      </c>
      <c r="C37" s="40">
        <f>VLOOKUP($C$30&amp;"-"&amp;B37,Tbd_apoio!A:D,4,0)</f>
        <v>0.05</v>
      </c>
      <c r="D37" s="41">
        <f t="shared" si="0"/>
        <v>10</v>
      </c>
    </row>
    <row r="38" spans="2:4" x14ac:dyDescent="0.3">
      <c r="B38" s="39" t="s">
        <v>27</v>
      </c>
      <c r="C38" s="40">
        <f>VLOOKUP($C$30&amp;"-"&amp;B38,Tbd_apoio!A:D,4,0)</f>
        <v>0.2</v>
      </c>
      <c r="D38" s="41">
        <f t="shared" si="0"/>
        <v>40</v>
      </c>
    </row>
    <row r="39" spans="2:4" x14ac:dyDescent="0.3">
      <c r="B39" s="39" t="s">
        <v>28</v>
      </c>
      <c r="C39" s="40">
        <f>VLOOKUP($C$30&amp;"-"&amp;B39,Tbd_apoio!A:D,4,0)</f>
        <v>0.1</v>
      </c>
      <c r="D39" s="41">
        <f t="shared" si="0"/>
        <v>20</v>
      </c>
    </row>
    <row r="40" spans="2:4" x14ac:dyDescent="0.3">
      <c r="B40" s="43"/>
      <c r="C40" s="43"/>
      <c r="D40" s="49">
        <f>SUM(D34:D39)</f>
        <v>200</v>
      </c>
    </row>
  </sheetData>
  <mergeCells count="11">
    <mergeCell ref="B15:D15"/>
    <mergeCell ref="B11:C11"/>
    <mergeCell ref="B12:C12"/>
    <mergeCell ref="B13:C13"/>
    <mergeCell ref="B10:D10"/>
    <mergeCell ref="B22:C22"/>
    <mergeCell ref="B16:C16"/>
    <mergeCell ref="B17:C17"/>
    <mergeCell ref="B18:C18"/>
    <mergeCell ref="B19:C19"/>
    <mergeCell ref="B20:C20"/>
  </mergeCells>
  <dataValidations disablePrompts="1" count="1">
    <dataValidation type="list" allowBlank="1" showInputMessage="1" showErrorMessage="1" sqref="C30" xr:uid="{7E7F3E25-A53B-47A1-8529-5C97F15527F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headerFooter>
    <oddHeader>&amp;R&amp;"Aptos"&amp;10&amp;K000000 Classificação de confidencialidade: Restrito&amp;1#_x000D_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A63D-E5AA-4FD4-88F7-EC43FE4CE864}">
  <dimension ref="A2:D20"/>
  <sheetViews>
    <sheetView workbookViewId="0">
      <selection activeCell="F22" sqref="F22"/>
    </sheetView>
  </sheetViews>
  <sheetFormatPr defaultRowHeight="14.4" x14ac:dyDescent="0.3"/>
  <cols>
    <col min="1" max="1" width="31.5546875" bestFit="1" customWidth="1"/>
    <col min="2" max="2" width="14" style="5" bestFit="1" customWidth="1"/>
    <col min="3" max="3" width="17.6640625" bestFit="1" customWidth="1"/>
  </cols>
  <sheetData>
    <row r="2" spans="1:4" x14ac:dyDescent="0.3">
      <c r="A2" t="s">
        <v>31</v>
      </c>
      <c r="B2" s="39" t="s">
        <v>29</v>
      </c>
      <c r="C2" s="39" t="s">
        <v>20</v>
      </c>
      <c r="D2" s="39" t="s">
        <v>30</v>
      </c>
    </row>
    <row r="3" spans="1:4" x14ac:dyDescent="0.3">
      <c r="A3" t="str">
        <f>B3&amp;"-"&amp;C3</f>
        <v>CONSERVADOR-PAPEL</v>
      </c>
      <c r="B3" s="39" t="s">
        <v>17</v>
      </c>
      <c r="C3" s="39" t="s">
        <v>23</v>
      </c>
      <c r="D3" s="40">
        <v>0.3</v>
      </c>
    </row>
    <row r="4" spans="1:4" x14ac:dyDescent="0.3">
      <c r="A4" t="str">
        <f t="shared" ref="A4:A20" si="0">B4&amp;"-"&amp;C4</f>
        <v>CONSERVADOR-TIJOLO</v>
      </c>
      <c r="B4" s="39" t="s">
        <v>17</v>
      </c>
      <c r="C4" s="39" t="s">
        <v>24</v>
      </c>
      <c r="D4" s="40">
        <v>0.5</v>
      </c>
    </row>
    <row r="5" spans="1:4" x14ac:dyDescent="0.3">
      <c r="A5" t="str">
        <f t="shared" si="0"/>
        <v>CONSERVADOR-HIBRIDOS</v>
      </c>
      <c r="B5" s="39" t="s">
        <v>17</v>
      </c>
      <c r="C5" s="39" t="s">
        <v>25</v>
      </c>
      <c r="D5" s="40">
        <v>0.1</v>
      </c>
    </row>
    <row r="6" spans="1:4" x14ac:dyDescent="0.3">
      <c r="A6" t="str">
        <f t="shared" si="0"/>
        <v>CONSERVADOR-FOFs</v>
      </c>
      <c r="B6" s="39" t="s">
        <v>17</v>
      </c>
      <c r="C6" s="39" t="s">
        <v>26</v>
      </c>
      <c r="D6" s="40">
        <v>0.1</v>
      </c>
    </row>
    <row r="7" spans="1:4" x14ac:dyDescent="0.3">
      <c r="A7" t="str">
        <f t="shared" si="0"/>
        <v>CONSERVADOR-DESENVOLVIMENTO</v>
      </c>
      <c r="B7" s="39" t="s">
        <v>17</v>
      </c>
      <c r="C7" s="39" t="s">
        <v>27</v>
      </c>
      <c r="D7" s="40">
        <v>0</v>
      </c>
    </row>
    <row r="8" spans="1:4" ht="15" thickBot="1" x14ac:dyDescent="0.35">
      <c r="A8" s="44" t="str">
        <f t="shared" si="0"/>
        <v>CONSERVADOR-HOTELÁRIAS</v>
      </c>
      <c r="B8" s="45" t="s">
        <v>17</v>
      </c>
      <c r="C8" s="45" t="s">
        <v>28</v>
      </c>
      <c r="D8" s="47">
        <v>0</v>
      </c>
    </row>
    <row r="9" spans="1:4" x14ac:dyDescent="0.3">
      <c r="A9" t="str">
        <f t="shared" si="0"/>
        <v>MODERADO-PAPEL</v>
      </c>
      <c r="B9" s="39" t="s">
        <v>18</v>
      </c>
      <c r="C9" s="39" t="s">
        <v>23</v>
      </c>
      <c r="D9" s="48">
        <v>0.32</v>
      </c>
    </row>
    <row r="10" spans="1:4" x14ac:dyDescent="0.3">
      <c r="A10" t="str">
        <f t="shared" si="0"/>
        <v>MODERADO-TIJOLO</v>
      </c>
      <c r="B10" s="5" t="s">
        <v>18</v>
      </c>
      <c r="C10" s="39" t="s">
        <v>24</v>
      </c>
      <c r="D10" s="48">
        <v>0.35</v>
      </c>
    </row>
    <row r="11" spans="1:4" x14ac:dyDescent="0.3">
      <c r="A11" t="str">
        <f t="shared" si="0"/>
        <v>MODERADO-HIBRIDOS</v>
      </c>
      <c r="B11" s="5" t="s">
        <v>18</v>
      </c>
      <c r="C11" s="39" t="s">
        <v>25</v>
      </c>
      <c r="D11" s="48">
        <v>0.08</v>
      </c>
    </row>
    <row r="12" spans="1:4" x14ac:dyDescent="0.3">
      <c r="A12" t="str">
        <f t="shared" si="0"/>
        <v>MODERADO-FOFs</v>
      </c>
      <c r="B12" s="5" t="s">
        <v>18</v>
      </c>
      <c r="C12" s="39" t="s">
        <v>26</v>
      </c>
      <c r="D12" s="48">
        <v>0.05</v>
      </c>
    </row>
    <row r="13" spans="1:4" x14ac:dyDescent="0.3">
      <c r="A13" t="str">
        <f t="shared" si="0"/>
        <v>MODERADO-DESENVOLVIMENTO</v>
      </c>
      <c r="B13" s="5" t="s">
        <v>18</v>
      </c>
      <c r="C13" s="39" t="s">
        <v>27</v>
      </c>
      <c r="D13" s="48">
        <v>0.1</v>
      </c>
    </row>
    <row r="14" spans="1:4" ht="15" thickBot="1" x14ac:dyDescent="0.35">
      <c r="A14" s="44" t="str">
        <f t="shared" si="0"/>
        <v>MODERADO-HOTELÁRIAS</v>
      </c>
      <c r="B14" s="46" t="s">
        <v>18</v>
      </c>
      <c r="C14" s="45" t="s">
        <v>28</v>
      </c>
      <c r="D14" s="47">
        <v>0.1</v>
      </c>
    </row>
    <row r="15" spans="1:4" x14ac:dyDescent="0.3">
      <c r="A15" t="str">
        <f t="shared" si="0"/>
        <v>AGRESSIVO-PAPEL</v>
      </c>
      <c r="B15" s="5" t="s">
        <v>16</v>
      </c>
      <c r="C15" s="39" t="s">
        <v>23</v>
      </c>
      <c r="D15" s="48">
        <v>0.5</v>
      </c>
    </row>
    <row r="16" spans="1:4" x14ac:dyDescent="0.3">
      <c r="A16" t="str">
        <f t="shared" si="0"/>
        <v>AGRESSIVO-TIJOLO</v>
      </c>
      <c r="B16" s="5" t="s">
        <v>16</v>
      </c>
      <c r="C16" s="39" t="s">
        <v>24</v>
      </c>
      <c r="D16" s="48">
        <v>0.1</v>
      </c>
    </row>
    <row r="17" spans="1:4" x14ac:dyDescent="0.3">
      <c r="A17" t="str">
        <f t="shared" si="0"/>
        <v>AGRESSIVO-HIBRIDOS</v>
      </c>
      <c r="B17" s="5" t="s">
        <v>16</v>
      </c>
      <c r="C17" s="39" t="s">
        <v>25</v>
      </c>
      <c r="D17" s="48">
        <v>0.05</v>
      </c>
    </row>
    <row r="18" spans="1:4" x14ac:dyDescent="0.3">
      <c r="A18" t="str">
        <f t="shared" si="0"/>
        <v>AGRESSIVO-FOFs</v>
      </c>
      <c r="B18" s="5" t="s">
        <v>16</v>
      </c>
      <c r="C18" s="39" t="s">
        <v>26</v>
      </c>
      <c r="D18" s="48">
        <v>0.05</v>
      </c>
    </row>
    <row r="19" spans="1:4" x14ac:dyDescent="0.3">
      <c r="A19" t="str">
        <f t="shared" si="0"/>
        <v>AGRESSIVO-DESENVOLVIMENTO</v>
      </c>
      <c r="B19" s="5" t="s">
        <v>16</v>
      </c>
      <c r="C19" s="39" t="s">
        <v>27</v>
      </c>
      <c r="D19" s="48">
        <v>0.2</v>
      </c>
    </row>
    <row r="20" spans="1:4" x14ac:dyDescent="0.3">
      <c r="A20" t="str">
        <f t="shared" si="0"/>
        <v>AGRESSIVO-HOTELÁRIAS</v>
      </c>
      <c r="B20" s="5" t="s">
        <v>16</v>
      </c>
      <c r="C20" s="39" t="s">
        <v>28</v>
      </c>
      <c r="D20" s="48">
        <v>0.1</v>
      </c>
    </row>
  </sheetData>
  <pageMargins left="0.511811024" right="0.511811024" top="0.78740157499999996" bottom="0.78740157499999996" header="0.31496062000000002" footer="0.31496062000000002"/>
  <headerFooter>
    <oddHeader>&amp;R&amp;"Aptos"&amp;10&amp;K000000 Classificação de confidencialidade: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APP_Investool</vt:lpstr>
      <vt:lpstr>Tbd_apoio</vt:lpstr>
      <vt:lpstr>aporte</vt:lpstr>
      <vt:lpstr>dividendos_mensal</vt:lpstr>
      <vt:lpstr>patrimonio</vt:lpstr>
      <vt:lpstr>qtd_anos</vt:lpstr>
      <vt:lpstr>rendimento_carteira</vt:lpstr>
      <vt:lpstr>salario</vt:lpstr>
      <vt:lpstr>sugestao_invest</vt:lpstr>
      <vt:lpstr>sugestao_invet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Rodrigues De Mendonca</dc:creator>
  <cp:lastModifiedBy>Allan Rodrigues De Mendonca</cp:lastModifiedBy>
  <dcterms:created xsi:type="dcterms:W3CDTF">2026-09-16T19:11:01Z</dcterms:created>
  <dcterms:modified xsi:type="dcterms:W3CDTF">2026-09-16T21:31:34Z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696167-4fe8-4f44-b0ce-e39fb98fcc42_Enabled">
    <vt:lpwstr>true</vt:lpwstr>
  </property>
  <property fmtid="{D5CDD505-2E9C-101B-9397-08002B2CF9AE}" pid="3" name="MSIP_Label_e6696167-4fe8-4f44-b0ce-e39fb98fcc42_SetDate">
    <vt:lpwstr>2026-09-16T21:31:11Z</vt:lpwstr>
  </property>
  <property fmtid="{D5CDD505-2E9C-101B-9397-08002B2CF9AE}" pid="4" name="MSIP_Label_e6696167-4fe8-4f44-b0ce-e39fb98fcc42_Method">
    <vt:lpwstr>Standard</vt:lpwstr>
  </property>
  <property fmtid="{D5CDD505-2E9C-101B-9397-08002B2CF9AE}" pid="5" name="MSIP_Label_e6696167-4fe8-4f44-b0ce-e39fb98fcc42_Name">
    <vt:lpwstr>Restrito</vt:lpwstr>
  </property>
  <property fmtid="{D5CDD505-2E9C-101B-9397-08002B2CF9AE}" pid="6" name="MSIP_Label_e6696167-4fe8-4f44-b0ce-e39fb98fcc42_SiteId">
    <vt:lpwstr>29c71825-b62a-457c-9557-749249d1f51c</vt:lpwstr>
  </property>
  <property fmtid="{D5CDD505-2E9C-101B-9397-08002B2CF9AE}" pid="7" name="MSIP_Label_e6696167-4fe8-4f44-b0ce-e39fb98fcc42_ActionId">
    <vt:lpwstr>37aa5c2e-c6d6-4840-9c62-4dc5cc8d2bc0</vt:lpwstr>
  </property>
  <property fmtid="{D5CDD505-2E9C-101B-9397-08002B2CF9AE}" pid="8" name="MSIP_Label_e6696167-4fe8-4f44-b0ce-e39fb98fcc42_ContentBits">
    <vt:lpwstr>1</vt:lpwstr>
  </property>
  <property fmtid="{D5CDD505-2E9C-101B-9397-08002B2CF9AE}" pid="9" name="MSIP_Label_e6696167-4fe8-4f44-b0ce-e39fb98fcc42_Tag">
    <vt:lpwstr>10, 3, 0, 1</vt:lpwstr>
  </property>
</Properties>
</file>